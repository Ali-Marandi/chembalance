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Build" sheetId="2" state="visible" r:id="rId2"/>
    <sheet xmlns:r="http://schemas.openxmlformats.org/officeDocument/2006/relationships" name="P&amp;L &amp; Cash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Use of Funds" sheetId="5" state="visible" r:id="rId5"/>
    <sheet xmlns:r="http://schemas.openxmlformats.org/officeDocument/2006/relationships" name="Checks" sheetId="6" state="visible" r:id="rId6"/>
  </sheets>
  <definedNames>
    <definedName name="_xlnm.Print_Area" localSheetId="0">'Assumptions'!$B$2:$H$26</definedName>
    <definedName name="_xlnm.Print_Area" localSheetId="1">'Revenue Build'!$B$2:$F$37</definedName>
    <definedName name="_xlnm.Print_Area" localSheetId="2">'P&amp;L &amp; Cash'!$B$2:$F$25</definedName>
    <definedName name="_xlnm.Print_Area" localSheetId="3">'Scenarios'!$B$2:$G$16</definedName>
    <definedName name="_xlnm.Print_Area" localSheetId="4">'Use of Funds'!$B$2:$F$15</definedName>
    <definedName name="_xlnm.Print_Area" localSheetId="5">'Checks'!$B$2:$E$12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-"/>
    <numFmt numFmtId="165" formatCode="$#,##0;($#,##0);-"/>
    <numFmt numFmtId="166" formatCode="$#,##0.0;($#,##0.0);-"/>
    <numFmt numFmtId="167" formatCode="0.0%"/>
    <numFmt numFmtId="168" formatCode="0.0x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i val="1"/>
    </font>
    <font>
      <b val="1"/>
    </font>
    <font>
      <color rgb="000000FF"/>
    </font>
    <font>
      <color rgb="00000000"/>
    </font>
    <font>
      <color rgb="00008000"/>
    </font>
    <font>
      <b val="1"/>
      <color rgb="00000000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35B44"/>
      </patternFill>
    </fill>
    <fill>
      <patternFill patternType="solid">
        <fgColor rgb="00CFE9E0"/>
      </patternFill>
    </fill>
    <fill>
      <patternFill patternType="solid">
        <fgColor rgb="00E7E5E4"/>
      </patternFill>
    </fill>
  </fills>
  <borders count="4">
    <border>
      <left/>
      <right/>
      <top/>
      <bottom/>
      <diagonal/>
    </border>
    <border>
      <top style="thin">
        <color rgb="00000000"/>
      </top>
    </border>
    <border>
      <top style="double">
        <color rgb="00000000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4" fillId="3" borderId="0" pivotButton="0" quotePrefix="0" xfId="0"/>
    <xf numFmtId="167" fontId="5" fillId="0" borderId="0" applyAlignment="1" pivotButton="0" quotePrefix="0" xfId="0">
      <alignment horizontal="right"/>
    </xf>
    <xf numFmtId="168" fontId="6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6" fillId="0" borderId="0" pivotButton="0" quotePrefix="0" xfId="0"/>
    <xf numFmtId="166" fontId="6" fillId="0" borderId="1" pivotButton="0" quotePrefix="0" xfId="0"/>
    <xf numFmtId="0" fontId="8" fillId="0" borderId="1" pivotButton="0" quotePrefix="0" xfId="0"/>
    <xf numFmtId="166" fontId="9" fillId="0" borderId="1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0" fontId="8" fillId="0" borderId="2" pivotButton="0" quotePrefix="0" xfId="0"/>
    <xf numFmtId="166" fontId="8" fillId="0" borderId="2" applyAlignment="1" pivotButton="0" quotePrefix="0" xfId="0">
      <alignment horizontal="right"/>
    </xf>
    <xf numFmtId="167" fontId="5" fillId="0" borderId="0" pivotButton="0" quotePrefix="0" xfId="0"/>
    <xf numFmtId="166" fontId="7" fillId="0" borderId="0" pivotButton="0" quotePrefix="0" xfId="0"/>
    <xf numFmtId="0" fontId="0" fillId="4" borderId="0" pivotButton="0" quotePrefix="0" xfId="0"/>
    <xf numFmtId="167" fontId="5" fillId="4" borderId="0" pivotButton="0" quotePrefix="0" xfId="0"/>
    <xf numFmtId="166" fontId="7" fillId="4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3" pivotButton="0" quotePrefix="0" xfId="0"/>
    <xf numFmtId="167" fontId="6" fillId="0" borderId="3" pivotButton="0" quotePrefix="0" xfId="0"/>
    <xf numFmtId="166" fontId="6" fillId="0" borderId="3" pivotButton="0" quotePrefix="0" xfId="0"/>
    <xf numFmtId="0" fontId="0" fillId="0" borderId="0" applyAlignment="1" pivotButton="0" quotePrefix="0" xfId="0">
      <alignment wrapText="1"/>
    </xf>
    <xf numFmtId="167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Manus AI</author>
  </authors>
  <commentList>
    <comment ref="D9" authorId="0" shapeId="0">
      <text>
        <t>Source: Management scenario assumption, 2026-08-26, ChemBalance Seed planning model. This is not historical actuals, contracted revenue, or third-party market data.</t>
      </text>
    </comment>
    <comment ref="E9" authorId="0" shapeId="0">
      <text>
        <t>Source: Management scenario assumption, 2026-08-26, ChemBalance Seed planning model. This is not historical actuals, contracted revenue, or third-party market data.</t>
      </text>
    </comment>
    <comment ref="F9" authorId="0" shapeId="0">
      <text>
        <t>Source: Management scenario assumption, 2026-08-26, ChemBalance Seed planning model. This is not historical actuals, contracted revenue, or third-party market data.</t>
      </text>
    </comment>
    <comment ref="D10" authorId="0" shapeId="0">
      <text>
        <t>Source: Management scenario assumption, 2026-08-26, ChemBalance Seed planning model. This is not historical actuals, contracted revenue, or third-party market data.</t>
      </text>
    </comment>
    <comment ref="E10" authorId="0" shapeId="0">
      <text>
        <t>Source: Management scenario assumption, 2026-08-26, ChemBalance Seed planning model. This is not historical actuals, contracted revenue, or third-party market data.</t>
      </text>
    </comment>
    <comment ref="F10" authorId="0" shapeId="0">
      <text>
        <t>Source: Management scenario assumption, 2026-08-26, ChemBalance Seed planning model. This is not historical actuals, contracted revenue, or third-party market data.</t>
      </text>
    </comment>
    <comment ref="D11" authorId="0" shapeId="0">
      <text>
        <t>Source: Management scenario assumption, 2026-08-26, ChemBalance Seed planning model. This is not historical actuals, contracted revenue, or third-party market data.</t>
      </text>
    </comment>
    <comment ref="E11" authorId="0" shapeId="0">
      <text>
        <t>Source: Management scenario assumption, 2026-08-26, ChemBalance Seed planning model. This is not historical actuals, contracted revenue, or third-party market data.</t>
      </text>
    </comment>
    <comment ref="F11" authorId="0" shapeId="0">
      <text>
        <t>Source: Management scenario assumption, 2026-08-26, ChemBalance Seed planning model. This is not historical actuals, contracted revenue, or third-party market data.</t>
      </text>
    </comment>
    <comment ref="D12" authorId="0" shapeId="0">
      <text>
        <t>Source: Management scenario assumption, 2026-08-26, ChemBalance Seed planning model. This is not historical actuals, contracted revenue, or third-party market data.</t>
      </text>
    </comment>
    <comment ref="E12" authorId="0" shapeId="0">
      <text>
        <t>Source: Management scenario assumption, 2026-08-26, ChemBalance Seed planning model. This is not historical actuals, contracted revenue, or third-party market data.</t>
      </text>
    </comment>
    <comment ref="F12" authorId="0" shapeId="0">
      <text>
        <t>Source: Management scenario assumption, 2026-08-26, ChemBalance Seed planning model. This is not historical actuals, contracted revenue, or third-party market data.</t>
      </text>
    </comment>
    <comment ref="D13" authorId="0" shapeId="0">
      <text>
        <t>Source: Management scenario assumption, 2026-08-26, ChemBalance Seed planning model. This is not historical actuals, contracted revenue, or third-party market data.</t>
      </text>
    </comment>
    <comment ref="E13" authorId="0" shapeId="0">
      <text>
        <t>Source: Management scenario assumption, 2026-08-26, ChemBalance Seed planning model. This is not historical actuals, contracted revenue, or third-party market data.</t>
      </text>
    </comment>
    <comment ref="F13" authorId="0" shapeId="0">
      <text>
        <t>Source: Management scenario assumption, 2026-08-26, ChemBalance Seed planning model. This is not historical actuals, contracted revenue, or third-party market data.</t>
      </text>
    </comment>
    <comment ref="D14" authorId="0" shapeId="0">
      <text>
        <t>Source: Management scenario assumption, 2026-08-26, ChemBalance Seed planning model. This is not historical actuals, contracted revenue, or third-party market data.</t>
      </text>
    </comment>
    <comment ref="E14" authorId="0" shapeId="0">
      <text>
        <t>Source: Management scenario assumption, 2026-08-26, ChemBalance Seed planning model. This is not historical actuals, contracted revenue, or third-party market data.</t>
      </text>
    </comment>
    <comment ref="F14" authorId="0" shapeId="0">
      <text>
        <t>Source: Management scenario assumption, 2026-08-26, ChemBalance Seed planning model. This is not historical actuals, contracted revenue, or third-party market data.</t>
      </text>
    </comment>
    <comment ref="D15" authorId="0" shapeId="0">
      <text>
        <t>Source: Management scenario assumption, 2026-08-26, ChemBalance Seed planning model. This is not historical actuals, contracted revenue, or third-party market data.</t>
      </text>
    </comment>
    <comment ref="E15" authorId="0" shapeId="0">
      <text>
        <t>Source: Management scenario assumption, 2026-08-26, ChemBalance Seed planning model. This is not historical actuals, contracted revenue, or third-party market data.</t>
      </text>
    </comment>
    <comment ref="F15" authorId="0" shapeId="0">
      <text>
        <t>Source: Management scenario assumption, 2026-08-26, ChemBalance Seed planning model. This is not historical actuals, contracted revenue, or third-party market data.</t>
      </text>
    </comment>
    <comment ref="D16" authorId="0" shapeId="0">
      <text>
        <t>Source: Management scenario assumption, 2026-08-26, ChemBalance Seed planning model. This is not historical actuals, contracted revenue, or third-party market data.</t>
      </text>
    </comment>
    <comment ref="E16" authorId="0" shapeId="0">
      <text>
        <t>Source: Management scenario assumption, 2026-08-26, ChemBalance Seed planning model. This is not historical actuals, contracted revenue, or third-party market data.</t>
      </text>
    </comment>
    <comment ref="F16" authorId="0" shapeId="0">
      <text>
        <t>Source: Management scenario assumption, 2026-08-26, ChemBalance Seed planning model. This is not historical actuals, contracted revenue, or third-party market data.</t>
      </text>
    </comment>
    <comment ref="D17" authorId="0" shapeId="0">
      <text>
        <t>Source: Management scenario assumption, 2026-08-26, ChemBalance Seed planning model. This is not historical actuals, contracted revenue, or third-party market data.</t>
      </text>
    </comment>
    <comment ref="E17" authorId="0" shapeId="0">
      <text>
        <t>Source: Management scenario assumption, 2026-08-26, ChemBalance Seed planning model. This is not historical actuals, contracted revenue, or third-party market data.</t>
      </text>
    </comment>
    <comment ref="F17" authorId="0" shapeId="0">
      <text>
        <t>Source: Management scenario assumption, 2026-08-26, ChemBalance Seed planning model. This is not historical actuals, contracted revenue, or third-party market data.</t>
      </text>
    </comment>
    <comment ref="D18" authorId="0" shapeId="0">
      <text>
        <t>Source: Management scenario assumption, 2026-08-26, ChemBalance Seed planning model. This is not historical actuals, contracted revenue, or third-party market data.</t>
      </text>
    </comment>
    <comment ref="E18" authorId="0" shapeId="0">
      <text>
        <t>Source: Management scenario assumption, 2026-08-26, ChemBalance Seed planning model. This is not historical actuals, contracted revenue, or third-party market data.</t>
      </text>
    </comment>
    <comment ref="F18" authorId="0" shapeId="0">
      <text>
        <t>Source: Management scenario assumption, 2026-08-26, ChemBalance Seed planning model. This is not historical actuals, contracted revenue, or third-party market data.</t>
      </text>
    </comment>
    <comment ref="D19" authorId="0" shapeId="0">
      <text>
        <t>Source: Management scenario assumption, 2026-08-26, ChemBalance Seed planning model. This is not historical actuals, contracted revenue, or third-party market data.</t>
      </text>
    </comment>
    <comment ref="E19" authorId="0" shapeId="0">
      <text>
        <t>Source: Management scenario assumption, 2026-08-26, ChemBalance Seed planning model. This is not historical actuals, contracted revenue, or third-party market data.</t>
      </text>
    </comment>
    <comment ref="F19" authorId="0" shapeId="0">
      <text>
        <t>Source: Management scenario assumption, 2026-08-26, ChemBalance Seed planning model. This is not historical actuals, contracted revenue, or third-party market data.</t>
      </text>
    </comment>
    <comment ref="D20" authorId="0" shapeId="0">
      <text>
        <t>Source: Management scenario assumption, 2026-08-26, ChemBalance Seed planning model. This is not historical actuals, contracted revenue, or third-party market data.</t>
      </text>
    </comment>
    <comment ref="E20" authorId="0" shapeId="0">
      <text>
        <t>Source: Management scenario assumption, 2026-08-26, ChemBalance Seed planning model. This is not historical actuals, contracted revenue, or third-party market data.</t>
      </text>
    </comment>
    <comment ref="F20" authorId="0" shapeId="0">
      <text>
        <t>Source: Management scenario assumption, 2026-08-26, ChemBalance Seed planning model. This is not historical actuals, contracted revenue, or third-party market data.</t>
      </text>
    </comment>
    <comment ref="D24" authorId="0" shapeId="0">
      <text>
        <t>Source: Management scenario assumption, 2026-08-26, ChemBalance Seed planning model. This is not historical actuals, contracted revenue, or third-party market data.</t>
      </text>
    </comment>
    <comment ref="E24" authorId="0" shapeId="0">
      <text>
        <t>Source: Management scenario assumption, 2026-08-26, ChemBalance Seed planning model. This is not historical actuals, contracted revenue, or third-party market data.</t>
      </text>
    </comment>
    <comment ref="F24" authorId="0" shapeId="0">
      <text>
        <t>Source: Management scenario assumption, 2026-08-26, ChemBalance Seed planning model. This is not historical actuals, contracted revenue, or third-party market data.</t>
      </text>
    </comment>
    <comment ref="G24" authorId="0" shapeId="0">
      <text>
        <t>Source: Management scenario assumption, 2026-08-26, ChemBalance Seed planning model. This is not historical actuals, contracted revenue, or third-party market data.</t>
      </text>
    </comment>
    <comment ref="D25" authorId="0" shapeId="0">
      <text>
        <t>Source: Management scenario assumption, 2026-08-26, ChemBalance Seed planning model. This is not historical actuals, contracted revenue, or third-party market data.</t>
      </text>
    </comment>
    <comment ref="E25" authorId="0" shapeId="0">
      <text>
        <t>Source: Management scenario assumption, 2026-08-26, ChemBalance Seed planning model. This is not historical actuals, contracted revenue, or third-party market data.</t>
      </text>
    </comment>
    <comment ref="F25" authorId="0" shapeId="0">
      <text>
        <t>Source: Management scenario assumption, 2026-08-26, ChemBalance Seed planning model. This is not historical actuals, contracted revenue, or third-party market data.</t>
      </text>
    </comment>
    <comment ref="G25" authorId="0" shapeId="0">
      <text>
        <t>Source: Management scenario assumption, 2026-08-26, ChemBalance Seed planning model. This is not historical actuals, contracted revenue, or third-party market data.</t>
      </text>
    </comment>
    <comment ref="D26" authorId="0" shapeId="0">
      <text>
        <t>Source: Management scenario assumption, 2026-08-26, ChemBalance Seed planning model. This is not historical actuals, contracted revenue, or third-party market data.</t>
      </text>
    </comment>
    <comment ref="E26" authorId="0" shapeId="0">
      <text>
        <t>Source: Management scenario assumption, 2026-08-26, ChemBalance Seed planning model. This is not historical actuals, contracted revenue, or third-party market data.</t>
      </text>
    </comment>
    <comment ref="F26" authorId="0" shapeId="0">
      <text>
        <t>Source: Management scenario assumption, 2026-08-26, ChemBalance Seed planning model. This is not historical actuals, contracted revenue, or third-party market data.</t>
      </text>
    </comment>
    <comment ref="G26" authorId="0" shapeId="0">
      <text>
        <t>Source: Management scenario assumption, 2026-08-26, ChemBalance Seed planning model. This is not historical actuals, contracted revenue, or third-party market data.</t>
      </text>
    </comment>
  </commentList>
</comments>
</file>

<file path=xl/comments/comment2.xml><?xml version="1.0" encoding="utf-8"?>
<comments xmlns="http://schemas.openxmlformats.org/spreadsheetml/2006/main">
  <authors>
    <author>Manus AI</author>
  </authors>
  <commentList>
    <comment ref="D9" authorId="0" shapeId="0">
      <text>
        <t>Source: Management scenario assumption, 2026-08-26, ChemBalance Seed planning model. This is not historical actuals, contracted revenue, or third-party market data.</t>
      </text>
    </comment>
    <comment ref="D10" authorId="0" shapeId="0">
      <text>
        <t>Source: Management scenario assumption, 2026-08-26, ChemBalance Seed planning model. This is not historical actuals, contracted revenue, or third-party market data.</t>
      </text>
    </comment>
    <comment ref="D11" authorId="0" shapeId="0">
      <text>
        <t>Source: Management scenario assumption, 2026-08-26, ChemBalance Seed planning model. This is not historical actuals, contracted revenue, or third-party market data.</t>
      </text>
    </comment>
  </commentList>
</comments>
</file>

<file path=xl/comments/comment3.xml><?xml version="1.0" encoding="utf-8"?>
<comments xmlns="http://schemas.openxmlformats.org/spreadsheetml/2006/main">
  <authors>
    <author>Manus AI</author>
  </authors>
  <commentList>
    <comment ref="D9" authorId="0" shapeId="0">
      <text>
        <t>Source: Management scenario assumption, 2026-08-26, ChemBalance Seed planning model. This is not historical actuals, contracted revenue, or third-party market data.</t>
      </text>
    </comment>
    <comment ref="D10" authorId="0" shapeId="0">
      <text>
        <t>Source: Management scenario assumption, 2026-08-26, ChemBalance Seed planning model. This is not historical actuals, contracted revenue, or third-party market data.</t>
      </text>
    </comment>
    <comment ref="D11" authorId="0" shapeId="0">
      <text>
        <t>Source: Management scenario assumption, 2026-08-26, ChemBalance Seed planning model. This is not historical actuals, contracted revenue, or third-party market data.</t>
      </text>
    </comment>
    <comment ref="D12" authorId="0" shapeId="0">
      <text>
        <t>Source: Management scenario assumption, 2026-08-26, ChemBalance Seed planning model. This is not historical actuals, contracted revenue, or third-party market data.</t>
      </text>
    </comment>
    <comment ref="D13" authorId="0" shapeId="0">
      <text>
        <t>Source: Management scenario assumption, 2026-08-26, ChemBalance Seed planning model. This is not historical actuals, contracted revenue, or third-party market 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H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12" customWidth="1" min="4" max="4"/>
    <col width="14" customWidth="1" min="5" max="5"/>
    <col width="14" customWidth="1" min="6" max="6"/>
    <col width="12" customWidth="1" min="7" max="7"/>
    <col width="18" customWidth="1" min="8" max="8"/>
  </cols>
  <sheetData>
    <row r="1"/>
    <row r="2"/>
    <row r="3">
      <c r="C3" s="1" t="inlineStr">
        <is>
          <t>ChemBalance Seed Assumptions</t>
        </is>
      </c>
    </row>
    <row r="4"/>
    <row r="5">
      <c r="C5" s="2" t="inlineStr">
        <is>
          <t>Management scenario inputs; replace blue cells with actual operating data.</t>
        </is>
      </c>
    </row>
    <row r="6">
      <c r="C6" s="3" t="inlineStr">
        <is>
          <t>USD in $000 except prices and percentages</t>
        </is>
      </c>
    </row>
    <row r="7"/>
    <row r="8">
      <c r="C8" s="4" t="inlineStr">
        <is>
          <t>Metric</t>
        </is>
      </c>
      <c r="D8" s="5" t="inlineStr">
        <is>
          <t>2027E</t>
        </is>
      </c>
      <c r="E8" s="5" t="inlineStr">
        <is>
          <t>2028E</t>
        </is>
      </c>
      <c r="F8" s="5" t="inlineStr">
        <is>
          <t>2029E</t>
        </is>
      </c>
    </row>
    <row r="9">
      <c r="C9" t="inlineStr">
        <is>
          <t>New Pro subscriptions</t>
        </is>
      </c>
      <c r="D9" s="6" t="n">
        <v>180</v>
      </c>
      <c r="E9" s="6" t="n">
        <v>600</v>
      </c>
      <c r="F9" s="6" t="n">
        <v>1400</v>
      </c>
    </row>
    <row r="10">
      <c r="C10" t="inlineStr">
        <is>
          <t>New Team accounts</t>
        </is>
      </c>
      <c r="D10" s="6" t="n">
        <v>6</v>
      </c>
      <c r="E10" s="6" t="n">
        <v>20</v>
      </c>
      <c r="F10" s="6" t="n">
        <v>45</v>
      </c>
    </row>
    <row r="11">
      <c r="C11" t="inlineStr">
        <is>
          <t>New Enterprise accounts</t>
        </is>
      </c>
      <c r="D11" s="6" t="n">
        <v>1</v>
      </c>
      <c r="E11" s="6" t="n">
        <v>4</v>
      </c>
      <c r="F11" s="6" t="n">
        <v>10</v>
      </c>
    </row>
    <row r="12">
      <c r="C12" t="inlineStr">
        <is>
          <t>Pro annual price ($)</t>
        </is>
      </c>
      <c r="D12" s="7" t="n">
        <v>180</v>
      </c>
      <c r="E12" s="7" t="n">
        <v>180</v>
      </c>
      <c r="F12" s="7" t="n">
        <v>180</v>
      </c>
    </row>
    <row r="13">
      <c r="C13" t="inlineStr">
        <is>
          <t>Team annual contract value ($)</t>
        </is>
      </c>
      <c r="D13" s="7" t="n">
        <v>1500</v>
      </c>
      <c r="E13" s="7" t="n">
        <v>1500</v>
      </c>
      <c r="F13" s="7" t="n">
        <v>1500</v>
      </c>
    </row>
    <row r="14">
      <c r="C14" t="inlineStr">
        <is>
          <t>Enterprise annual contract value ($)</t>
        </is>
      </c>
      <c r="D14" s="7" t="n">
        <v>7500</v>
      </c>
      <c r="E14" s="7" t="n">
        <v>7500</v>
      </c>
      <c r="F14" s="7" t="n">
        <v>7500</v>
      </c>
    </row>
    <row r="15">
      <c r="C15" t="inlineStr">
        <is>
          <t>Cost of revenue (% of revenue)</t>
        </is>
      </c>
      <c r="D15" s="6" t="n">
        <v>0.09</v>
      </c>
      <c r="E15" s="6" t="n">
        <v>0.09</v>
      </c>
      <c r="F15" s="6" t="n">
        <v>0.09</v>
      </c>
    </row>
    <row r="16">
      <c r="C16" t="inlineStr">
        <is>
          <t>Research &amp; development ($000)</t>
        </is>
      </c>
      <c r="D16" s="8" t="n">
        <v>210</v>
      </c>
      <c r="E16" s="8" t="n">
        <v>280</v>
      </c>
      <c r="F16" s="8" t="n">
        <v>350</v>
      </c>
    </row>
    <row r="17">
      <c r="C17" t="inlineStr">
        <is>
          <t>Sales &amp; marketing ($000)</t>
        </is>
      </c>
      <c r="D17" s="8" t="n">
        <v>90</v>
      </c>
      <c r="E17" s="8" t="n">
        <v>150</v>
      </c>
      <c r="F17" s="8" t="n">
        <v>240</v>
      </c>
    </row>
    <row r="18">
      <c r="C18" t="inlineStr">
        <is>
          <t>General &amp; administrative ($000)</t>
        </is>
      </c>
      <c r="D18" s="8" t="n">
        <v>70</v>
      </c>
      <c r="E18" s="8" t="n">
        <v>95</v>
      </c>
      <c r="F18" s="8" t="n">
        <v>130</v>
      </c>
    </row>
    <row r="19">
      <c r="C19" t="inlineStr">
        <is>
          <t>Working capital / tools ($000)</t>
        </is>
      </c>
      <c r="D19" s="8" t="n">
        <v>20</v>
      </c>
      <c r="E19" s="8" t="n">
        <v>30</v>
      </c>
      <c r="F19" s="8" t="n">
        <v>40</v>
      </c>
    </row>
    <row r="20">
      <c r="C20" t="inlineStr">
        <is>
          <t>Seed capital proceeds ($000)</t>
        </is>
      </c>
      <c r="D20" s="8" t="n">
        <v>1350</v>
      </c>
      <c r="E20" s="8" t="n">
        <v>0</v>
      </c>
      <c r="F20" s="8" t="n">
        <v>0</v>
      </c>
    </row>
    <row r="21"/>
    <row r="22">
      <c r="C22" s="9" t="inlineStr">
        <is>
          <t>Unit economics targets</t>
        </is>
      </c>
    </row>
    <row r="23">
      <c r="C23" s="4" t="inlineStr">
        <is>
          <t>Segment</t>
        </is>
      </c>
      <c r="D23" s="4" t="inlineStr">
        <is>
          <t>ACV ($)</t>
        </is>
      </c>
      <c r="E23" s="4" t="inlineStr">
        <is>
          <t>Gross margin</t>
        </is>
      </c>
      <c r="F23" s="4" t="inlineStr">
        <is>
          <t>Annual churn</t>
        </is>
      </c>
      <c r="G23" s="4" t="inlineStr">
        <is>
          <t>CAC ($)</t>
        </is>
      </c>
      <c r="H23" s="4" t="inlineStr">
        <is>
          <t>LTV / CAC</t>
        </is>
      </c>
    </row>
    <row r="24">
      <c r="C24" t="inlineStr">
        <is>
          <t>Pro</t>
        </is>
      </c>
      <c r="D24" s="7" t="n">
        <v>180</v>
      </c>
      <c r="E24" s="10" t="n">
        <v>0.91</v>
      </c>
      <c r="F24" s="10" t="n">
        <v>0.25</v>
      </c>
      <c r="G24" s="7" t="n">
        <v>90</v>
      </c>
      <c r="H24" s="11">
        <f>D24*E24/F24/G24</f>
        <v/>
      </c>
    </row>
    <row r="25">
      <c r="C25" t="inlineStr">
        <is>
          <t>Team</t>
        </is>
      </c>
      <c r="D25" s="7" t="n">
        <v>1500</v>
      </c>
      <c r="E25" s="10" t="n">
        <v>0.91</v>
      </c>
      <c r="F25" s="10" t="n">
        <v>0.12</v>
      </c>
      <c r="G25" s="7" t="n">
        <v>900</v>
      </c>
      <c r="H25" s="11">
        <f>D25*E25/F25/G25</f>
        <v/>
      </c>
    </row>
    <row r="26">
      <c r="C26" t="inlineStr">
        <is>
          <t>Enterprise</t>
        </is>
      </c>
      <c r="D26" s="7" t="n">
        <v>7500</v>
      </c>
      <c r="E26" s="10" t="n">
        <v>0.91</v>
      </c>
      <c r="F26" s="10" t="n">
        <v>0.08</v>
      </c>
      <c r="G26" s="7" t="n">
        <v>5000</v>
      </c>
      <c r="H26" s="11">
        <f>D26*E26/F26/G26</f>
        <v/>
      </c>
    </row>
  </sheetData>
  <mergeCells count="4">
    <mergeCell ref="C6:F6"/>
    <mergeCell ref="C5:F5"/>
    <mergeCell ref="C22:G22"/>
    <mergeCell ref="C3:F3"/>
  </mergeCells>
  <pageMargins left="0.75" right="0.75" top="1" bottom="1" header="0.5" footer="0.5"/>
  <pageSetup orientation="landscape" fitToHeight="0" fitToWidth="1"/>
  <headerFooter>
    <oddHeader/>
    <oddFooter>&amp;CChemBalance Seed Assumptions —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C1:F3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18" customWidth="1" min="4" max="4"/>
    <col width="18" customWidth="1" min="5" max="5"/>
    <col width="18" customWidth="1" min="6" max="6"/>
  </cols>
  <sheetData>
    <row r="1"/>
    <row r="2"/>
    <row r="3">
      <c r="C3" s="1" t="inlineStr">
        <is>
          <t>ChemBalance Revenue Build</t>
        </is>
      </c>
    </row>
    <row r="4"/>
    <row r="5">
      <c r="C5" s="2" t="inlineStr">
        <is>
          <t>Subscription revenue uses average active accounts for each forecast year.</t>
        </is>
      </c>
    </row>
    <row r="6">
      <c r="C6" s="3" t="inlineStr">
        <is>
          <t>USD in $000 except account counts and annual contract values</t>
        </is>
      </c>
    </row>
    <row r="7"/>
    <row r="8">
      <c r="C8" s="4" t="inlineStr">
        <is>
          <t>Metric</t>
        </is>
      </c>
      <c r="D8" s="5" t="inlineStr">
        <is>
          <t>2027E</t>
        </is>
      </c>
      <c r="E8" s="5" t="inlineStr">
        <is>
          <t>2028E</t>
        </is>
      </c>
      <c r="F8" s="5" t="inlineStr">
        <is>
          <t>2029E</t>
        </is>
      </c>
    </row>
    <row r="9">
      <c r="C9" s="9" t="inlineStr">
        <is>
          <t>Pro subscriptions</t>
        </is>
      </c>
    </row>
    <row r="10">
      <c r="C10" t="inlineStr">
        <is>
          <t>Beginning accounts</t>
        </is>
      </c>
      <c r="D10" s="12">
        <f>0</f>
        <v/>
      </c>
      <c r="E10" s="12">
        <f>D12</f>
        <v/>
      </c>
      <c r="F10" s="12">
        <f>E12</f>
        <v/>
      </c>
    </row>
    <row r="11">
      <c r="C11" t="inlineStr">
        <is>
          <t>New accounts</t>
        </is>
      </c>
      <c r="D11" s="13">
        <f>Assumptions!D9</f>
        <v/>
      </c>
      <c r="E11" s="13">
        <f>Assumptions!E9</f>
        <v/>
      </c>
      <c r="F11" s="13">
        <f>Assumptions!F9</f>
        <v/>
      </c>
    </row>
    <row r="12">
      <c r="C12" t="inlineStr">
        <is>
          <t>Ending accounts</t>
        </is>
      </c>
      <c r="D12" s="12">
        <f>D10+D11</f>
        <v/>
      </c>
      <c r="E12" s="12">
        <f>E10+E11</f>
        <v/>
      </c>
      <c r="F12" s="12">
        <f>F10+F11</f>
        <v/>
      </c>
    </row>
    <row r="13">
      <c r="C13" t="inlineStr">
        <is>
          <t>Average accounts</t>
        </is>
      </c>
      <c r="D13" s="12">
        <f>(D10+D12)/2</f>
        <v/>
      </c>
      <c r="E13" s="12">
        <f>(E10+E12)/2</f>
        <v/>
      </c>
      <c r="F13" s="12">
        <f>(F10+F12)/2</f>
        <v/>
      </c>
    </row>
    <row r="14">
      <c r="C14" t="inlineStr">
        <is>
          <t>Annual contract value ($)</t>
        </is>
      </c>
      <c r="D14" s="14">
        <f>Assumptions!D12</f>
        <v/>
      </c>
      <c r="E14" s="14">
        <f>Assumptions!E12</f>
        <v/>
      </c>
      <c r="F14" s="14">
        <f>Assumptions!F12</f>
        <v/>
      </c>
    </row>
    <row r="15">
      <c r="C15" t="inlineStr">
        <is>
          <t>Revenue ($000)</t>
        </is>
      </c>
      <c r="D15" s="15">
        <f>D13*D14/1000</f>
        <v/>
      </c>
      <c r="E15" s="15">
        <f>E13*E14/1000</f>
        <v/>
      </c>
      <c r="F15" s="15">
        <f>F13*F14/1000</f>
        <v/>
      </c>
    </row>
    <row r="16"/>
    <row r="17"/>
    <row r="18">
      <c r="C18" s="9" t="inlineStr">
        <is>
          <t>Team accounts</t>
        </is>
      </c>
    </row>
    <row r="19">
      <c r="C19" t="inlineStr">
        <is>
          <t>Beginning accounts</t>
        </is>
      </c>
      <c r="D19" s="12">
        <f>0</f>
        <v/>
      </c>
      <c r="E19" s="12">
        <f>D21</f>
        <v/>
      </c>
      <c r="F19" s="12">
        <f>E21</f>
        <v/>
      </c>
    </row>
    <row r="20">
      <c r="C20" t="inlineStr">
        <is>
          <t>New accounts</t>
        </is>
      </c>
      <c r="D20" s="13">
        <f>Assumptions!D10</f>
        <v/>
      </c>
      <c r="E20" s="13">
        <f>Assumptions!E10</f>
        <v/>
      </c>
      <c r="F20" s="13">
        <f>Assumptions!F10</f>
        <v/>
      </c>
    </row>
    <row r="21">
      <c r="C21" t="inlineStr">
        <is>
          <t>Ending accounts</t>
        </is>
      </c>
      <c r="D21" s="12">
        <f>D19+D20</f>
        <v/>
      </c>
      <c r="E21" s="12">
        <f>E19+E20</f>
        <v/>
      </c>
      <c r="F21" s="12">
        <f>F19+F20</f>
        <v/>
      </c>
    </row>
    <row r="22">
      <c r="C22" t="inlineStr">
        <is>
          <t>Average accounts</t>
        </is>
      </c>
      <c r="D22" s="12">
        <f>(D19+D21)/2</f>
        <v/>
      </c>
      <c r="E22" s="12">
        <f>(E19+E21)/2</f>
        <v/>
      </c>
      <c r="F22" s="12">
        <f>(F19+F21)/2</f>
        <v/>
      </c>
    </row>
    <row r="23">
      <c r="C23" t="inlineStr">
        <is>
          <t>Annual contract value ($)</t>
        </is>
      </c>
      <c r="D23" s="14">
        <f>Assumptions!D13</f>
        <v/>
      </c>
      <c r="E23" s="14">
        <f>Assumptions!E13</f>
        <v/>
      </c>
      <c r="F23" s="14">
        <f>Assumptions!F13</f>
        <v/>
      </c>
    </row>
    <row r="24">
      <c r="C24" t="inlineStr">
        <is>
          <t>Revenue ($000)</t>
        </is>
      </c>
      <c r="D24" s="15">
        <f>D22*D23/1000</f>
        <v/>
      </c>
      <c r="E24" s="15">
        <f>E22*E23/1000</f>
        <v/>
      </c>
      <c r="F24" s="15">
        <f>F22*F23/1000</f>
        <v/>
      </c>
    </row>
    <row r="25"/>
    <row r="26"/>
    <row r="27">
      <c r="C27" s="9" t="inlineStr">
        <is>
          <t>Enterprise accounts</t>
        </is>
      </c>
    </row>
    <row r="28">
      <c r="C28" t="inlineStr">
        <is>
          <t>Beginning accounts</t>
        </is>
      </c>
      <c r="D28" s="12">
        <f>0</f>
        <v/>
      </c>
      <c r="E28" s="12">
        <f>D30</f>
        <v/>
      </c>
      <c r="F28" s="12">
        <f>E30</f>
        <v/>
      </c>
    </row>
    <row r="29">
      <c r="C29" t="inlineStr">
        <is>
          <t>New accounts</t>
        </is>
      </c>
      <c r="D29" s="13">
        <f>Assumptions!D11</f>
        <v/>
      </c>
      <c r="E29" s="13">
        <f>Assumptions!E11</f>
        <v/>
      </c>
      <c r="F29" s="13">
        <f>Assumptions!F11</f>
        <v/>
      </c>
    </row>
    <row r="30">
      <c r="C30" t="inlineStr">
        <is>
          <t>Ending accounts</t>
        </is>
      </c>
      <c r="D30" s="12">
        <f>D28+D29</f>
        <v/>
      </c>
      <c r="E30" s="12">
        <f>E28+E29</f>
        <v/>
      </c>
      <c r="F30" s="12">
        <f>F28+F29</f>
        <v/>
      </c>
    </row>
    <row r="31">
      <c r="C31" t="inlineStr">
        <is>
          <t>Average accounts</t>
        </is>
      </c>
      <c r="D31" s="12">
        <f>(D28+D30)/2</f>
        <v/>
      </c>
      <c r="E31" s="12">
        <f>(E28+E30)/2</f>
        <v/>
      </c>
      <c r="F31" s="12">
        <f>(F28+F30)/2</f>
        <v/>
      </c>
    </row>
    <row r="32">
      <c r="C32" t="inlineStr">
        <is>
          <t>Annual contract value ($)</t>
        </is>
      </c>
      <c r="D32" s="14">
        <f>Assumptions!D14</f>
        <v/>
      </c>
      <c r="E32" s="14">
        <f>Assumptions!E14</f>
        <v/>
      </c>
      <c r="F32" s="14">
        <f>Assumptions!F14</f>
        <v/>
      </c>
    </row>
    <row r="33">
      <c r="C33" t="inlineStr">
        <is>
          <t>Revenue ($000)</t>
        </is>
      </c>
      <c r="D33" s="15">
        <f>D31*D32/1000</f>
        <v/>
      </c>
      <c r="E33" s="15">
        <f>E31*E32/1000</f>
        <v/>
      </c>
      <c r="F33" s="15">
        <f>F31*F32/1000</f>
        <v/>
      </c>
    </row>
    <row r="34"/>
    <row r="35"/>
    <row r="36">
      <c r="C36" s="9" t="inlineStr">
        <is>
          <t>Revenue summary</t>
        </is>
      </c>
    </row>
    <row r="37">
      <c r="C37" s="4" t="inlineStr">
        <is>
          <t>Total revenue ($000)</t>
        </is>
      </c>
      <c r="D37" s="16">
        <f>D15+D24+D33</f>
        <v/>
      </c>
      <c r="E37" s="16">
        <f>E15+E24+E33</f>
        <v/>
      </c>
      <c r="F37" s="16">
        <f>F15+F24+F33</f>
        <v/>
      </c>
    </row>
  </sheetData>
  <mergeCells count="7">
    <mergeCell ref="C9:F9"/>
    <mergeCell ref="C18:F18"/>
    <mergeCell ref="C3:F3"/>
    <mergeCell ref="C6:F6"/>
    <mergeCell ref="C27:F27"/>
    <mergeCell ref="C5:F5"/>
    <mergeCell ref="C36:F36"/>
  </mergeCells>
  <pageMargins left="0.75" right="0.75" top="1" bottom="1" header="0.5" footer="0.5"/>
  <pageSetup orientation="landscape" fitToHeight="0" fitToWidth="1"/>
  <headerFooter>
    <oddHeader/>
    <oddFooter>&amp;CChemBalance Revenue Build —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F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22" customWidth="1" min="4" max="4"/>
    <col width="22" customWidth="1" min="5" max="5"/>
    <col width="22" customWidth="1" min="6" max="6"/>
  </cols>
  <sheetData>
    <row r="1"/>
    <row r="2"/>
    <row r="3">
      <c r="C3" s="1" t="inlineStr">
        <is>
          <t>ChemBalance Profit &amp; Loss and Cash</t>
        </is>
      </c>
    </row>
    <row r="4"/>
    <row r="5">
      <c r="C5" s="2" t="inlineStr">
        <is>
          <t>Base-case cash plan funded by the Seed raise; no income tax benefit is modeled while loss-making.</t>
        </is>
      </c>
    </row>
    <row r="6">
      <c r="C6" s="3" t="inlineStr">
        <is>
          <t>USD in $000</t>
        </is>
      </c>
    </row>
    <row r="7"/>
    <row r="8">
      <c r="C8" s="4" t="inlineStr">
        <is>
          <t>Metric</t>
        </is>
      </c>
      <c r="D8" s="5" t="inlineStr">
        <is>
          <t>2027E</t>
        </is>
      </c>
      <c r="E8" s="5" t="inlineStr">
        <is>
          <t>2028E</t>
        </is>
      </c>
      <c r="F8" s="5" t="inlineStr">
        <is>
          <t>2029E</t>
        </is>
      </c>
    </row>
    <row r="9">
      <c r="C9" s="17" t="inlineStr">
        <is>
          <t>Revenue</t>
        </is>
      </c>
      <c r="D9" s="18">
        <f>'Revenue Build'!D37</f>
        <v/>
      </c>
      <c r="E9" s="18">
        <f>'Revenue Build'!E37</f>
        <v/>
      </c>
      <c r="F9" s="18">
        <f>'Revenue Build'!F37</f>
        <v/>
      </c>
    </row>
    <row r="10">
      <c r="C10" t="inlineStr">
        <is>
          <t>Cost of revenue</t>
        </is>
      </c>
      <c r="D10" s="19">
        <f>-D9*Assumptions!D15</f>
        <v/>
      </c>
      <c r="E10" s="19">
        <f>-E9*Assumptions!E15</f>
        <v/>
      </c>
      <c r="F10" s="19">
        <f>-F9*Assumptions!F15</f>
        <v/>
      </c>
    </row>
    <row r="11">
      <c r="C11" s="17" t="inlineStr">
        <is>
          <t>Gross profit</t>
        </is>
      </c>
      <c r="D11" s="20">
        <f>D9+D10</f>
        <v/>
      </c>
      <c r="E11" s="20">
        <f>E9+E10</f>
        <v/>
      </c>
      <c r="F11" s="20">
        <f>F9+F10</f>
        <v/>
      </c>
    </row>
    <row r="12">
      <c r="C12" s="3" t="inlineStr">
        <is>
          <t>Gross margin</t>
        </is>
      </c>
      <c r="D12" s="21">
        <f>D11/D9</f>
        <v/>
      </c>
      <c r="E12" s="21">
        <f>E11/E9</f>
        <v/>
      </c>
      <c r="F12" s="21">
        <f>F11/F9</f>
        <v/>
      </c>
    </row>
    <row r="13"/>
    <row r="14">
      <c r="C14" t="inlineStr">
        <is>
          <t>Research &amp; development</t>
        </is>
      </c>
      <c r="D14" s="19">
        <f>-Assumptions!D16</f>
        <v/>
      </c>
      <c r="E14" s="19">
        <f>-Assumptions!E16</f>
        <v/>
      </c>
      <c r="F14" s="19">
        <f>-Assumptions!F16</f>
        <v/>
      </c>
    </row>
    <row r="15">
      <c r="C15" t="inlineStr">
        <is>
          <t>Sales &amp; marketing</t>
        </is>
      </c>
      <c r="D15" s="19">
        <f>-Assumptions!D17</f>
        <v/>
      </c>
      <c r="E15" s="19">
        <f>-Assumptions!E17</f>
        <v/>
      </c>
      <c r="F15" s="19">
        <f>-Assumptions!F17</f>
        <v/>
      </c>
    </row>
    <row r="16">
      <c r="C16" t="inlineStr">
        <is>
          <t>General &amp; administrative</t>
        </is>
      </c>
      <c r="D16" s="19">
        <f>-Assumptions!D18</f>
        <v/>
      </c>
      <c r="E16" s="19">
        <f>-Assumptions!E18</f>
        <v/>
      </c>
      <c r="F16" s="19">
        <f>-Assumptions!F18</f>
        <v/>
      </c>
    </row>
    <row r="17">
      <c r="C17" s="17" t="inlineStr">
        <is>
          <t>EBITDA</t>
        </is>
      </c>
      <c r="D17" s="20">
        <f>SUM(D11:D16)</f>
        <v/>
      </c>
      <c r="E17" s="20">
        <f>SUM(E11:E16)</f>
        <v/>
      </c>
      <c r="F17" s="20">
        <f>SUM(F11:F16)</f>
        <v/>
      </c>
    </row>
    <row r="18">
      <c r="C18" s="3" t="inlineStr">
        <is>
          <t>EBITDA margin</t>
        </is>
      </c>
      <c r="D18" s="21">
        <f>D17/D9</f>
        <v/>
      </c>
      <c r="E18" s="21">
        <f>E17/E9</f>
        <v/>
      </c>
      <c r="F18" s="21">
        <f>F17/F9</f>
        <v/>
      </c>
    </row>
    <row r="19"/>
    <row r="20">
      <c r="C20" t="inlineStr">
        <is>
          <t>Working capital / tools</t>
        </is>
      </c>
      <c r="D20" s="19">
        <f>-Assumptions!D19</f>
        <v/>
      </c>
      <c r="E20" s="19">
        <f>-Assumptions!E19</f>
        <v/>
      </c>
      <c r="F20" s="19">
        <f>-Assumptions!F19</f>
        <v/>
      </c>
    </row>
    <row r="21">
      <c r="C21" t="inlineStr">
        <is>
          <t>Free cash flow</t>
        </is>
      </c>
      <c r="D21" s="22">
        <f>D17+D20</f>
        <v/>
      </c>
      <c r="E21" s="22">
        <f>E17+E20</f>
        <v/>
      </c>
      <c r="F21" s="22">
        <f>F17+F20</f>
        <v/>
      </c>
    </row>
    <row r="22"/>
    <row r="23">
      <c r="C23" t="inlineStr">
        <is>
          <t>Seed capital proceeds</t>
        </is>
      </c>
      <c r="D23" s="19">
        <f>Assumptions!D20</f>
        <v/>
      </c>
      <c r="E23" s="19">
        <f>Assumptions!E20</f>
        <v/>
      </c>
      <c r="F23" s="19">
        <f>Assumptions!F20</f>
        <v/>
      </c>
    </row>
    <row r="24">
      <c r="C24" t="inlineStr">
        <is>
          <t>Beginning cash</t>
        </is>
      </c>
      <c r="D24" s="22">
        <f>0</f>
        <v/>
      </c>
      <c r="E24" s="22">
        <f>D25</f>
        <v/>
      </c>
      <c r="F24" s="22">
        <f>E25</f>
        <v/>
      </c>
    </row>
    <row r="25">
      <c r="C25" s="23" t="inlineStr">
        <is>
          <t>Ending cash</t>
        </is>
      </c>
      <c r="D25" s="24">
        <f>D24+D21+D23</f>
        <v/>
      </c>
      <c r="E25" s="24">
        <f>E24+E21+E23</f>
        <v/>
      </c>
      <c r="F25" s="24">
        <f>F24+F21+F23</f>
        <v/>
      </c>
    </row>
  </sheetData>
  <mergeCells count="3">
    <mergeCell ref="C6:F6"/>
    <mergeCell ref="C5:F5"/>
    <mergeCell ref="C3:F3"/>
  </mergeCells>
  <pageMargins left="0.75" right="0.75" top="1" bottom="1" header="0.5" footer="0.5"/>
  <pageSetup orientation="landscape" fitToHeight="0" fitToWidth="1"/>
  <headerFooter>
    <oddHeader/>
    <oddFooter>&amp;CChemBalance Profit &amp; Loss and Cash —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C1:G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21" customWidth="1" min="4" max="4"/>
    <col width="26" customWidth="1" min="5" max="5"/>
    <col width="46" customWidth="1" min="6" max="6"/>
    <col width="46" customWidth="1" min="7" max="7"/>
  </cols>
  <sheetData>
    <row r="1"/>
    <row r="2"/>
    <row r="3">
      <c r="C3" s="1" t="inlineStr">
        <is>
          <t>ChemBalance Seed Scenario Summary</t>
        </is>
      </c>
    </row>
    <row r="4"/>
    <row r="5">
      <c r="C5" s="2" t="inlineStr">
        <is>
          <t>Illustrative sensitivity of 2029 revenue and ending cash to new-logo acquisition pace.</t>
        </is>
      </c>
    </row>
    <row r="6">
      <c r="C6" s="3" t="inlineStr">
        <is>
          <t>USD in $000 except percentages</t>
        </is>
      </c>
    </row>
    <row r="7"/>
    <row r="8">
      <c r="C8" s="4" t="inlineStr">
        <is>
          <t>Scenario</t>
        </is>
      </c>
      <c r="D8" s="4" t="inlineStr">
        <is>
          <t>New-logo multiplier</t>
        </is>
      </c>
      <c r="E8" s="4" t="inlineStr">
        <is>
          <t>2029 revenue</t>
        </is>
      </c>
      <c r="F8" s="4" t="inlineStr">
        <is>
          <t>2029 ending cash</t>
        </is>
      </c>
      <c r="G8" s="4" t="inlineStr">
        <is>
          <t>Interpretation</t>
        </is>
      </c>
    </row>
    <row r="9">
      <c r="C9" t="inlineStr">
        <is>
          <t>Downside</t>
        </is>
      </c>
      <c r="D9" s="25" t="n">
        <v>0.7</v>
      </c>
      <c r="E9" s="26">
        <f>'Revenue Build'!F37*D9</f>
        <v/>
      </c>
      <c r="F9" s="26">
        <f>'P&amp;L &amp; Cash'!F25+('Revenue Build'!F37*D9-'Revenue Build'!F37)*0.91</f>
        <v/>
      </c>
      <c r="G9" t="inlineStr">
        <is>
          <t>Slower conversion or longer institutional sales cycle</t>
        </is>
      </c>
    </row>
    <row r="10">
      <c r="C10" s="27" t="inlineStr">
        <is>
          <t>Base</t>
        </is>
      </c>
      <c r="D10" s="28" t="n">
        <v>1</v>
      </c>
      <c r="E10" s="29">
        <f>'Revenue Build'!F37*D10</f>
        <v/>
      </c>
      <c r="F10" s="29">
        <f>'P&amp;L &amp; Cash'!F25+('Revenue Build'!F37*D10-'Revenue Build'!F37)*0.91</f>
        <v/>
      </c>
      <c r="G10" s="27" t="inlineStr">
        <is>
          <t>Management operating plan</t>
        </is>
      </c>
    </row>
    <row r="11">
      <c r="C11" t="inlineStr">
        <is>
          <t>Upside</t>
        </is>
      </c>
      <c r="D11" s="25" t="n">
        <v>1.3</v>
      </c>
      <c r="E11" s="26">
        <f>'Revenue Build'!F37*D11</f>
        <v/>
      </c>
      <c r="F11" s="26">
        <f>'P&amp;L &amp; Cash'!F25+('Revenue Build'!F37*D11-'Revenue Build'!F37)*0.91</f>
        <v/>
      </c>
      <c r="G11" t="inlineStr">
        <is>
          <t>Faster distribution or partner-assisted growth</t>
        </is>
      </c>
    </row>
    <row r="12"/>
    <row r="13"/>
    <row r="14">
      <c r="C14" s="9" t="inlineStr">
        <is>
          <t>Scenario interpretation</t>
        </is>
      </c>
    </row>
    <row r="15">
      <c r="C15" s="30" t="inlineStr">
        <is>
          <t>The downside / base / upside cases vary only customer acquisition. Product costs, headcount, and pricing remain at base assumptions so decision-makers can see commercial sensitivity clearly.</t>
        </is>
      </c>
    </row>
    <row r="16"/>
  </sheetData>
  <mergeCells count="5">
    <mergeCell ref="C3:F3"/>
    <mergeCell ref="C6:F6"/>
    <mergeCell ref="C15:G16"/>
    <mergeCell ref="C14:G14"/>
    <mergeCell ref="C5:F5"/>
  </mergeCells>
  <pageMargins left="0.75" right="0.75" top="1" bottom="1" header="0.5" footer="0.5"/>
  <pageSetup orientation="landscape" fitToHeight="0" fitToWidth="1"/>
  <headerFooter>
    <oddHeader/>
    <oddFooter>&amp;CChemBalance Seed Scenario Summary —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C1:F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14" customWidth="1" min="4" max="4"/>
    <col width="22" customWidth="1" min="5" max="5"/>
    <col width="46" customWidth="1" min="6" max="6"/>
  </cols>
  <sheetData>
    <row r="1"/>
    <row r="2"/>
    <row r="3">
      <c r="C3" s="1" t="inlineStr">
        <is>
          <t>ChemBalance Seed Use of Funds</t>
        </is>
      </c>
    </row>
    <row r="4"/>
    <row r="5">
      <c r="C5" s="2" t="inlineStr">
        <is>
          <t>Proposed allocation of the Seed raise; management must align spending gates with demonstrated milestones.</t>
        </is>
      </c>
    </row>
    <row r="6">
      <c r="C6" s="3" t="inlineStr">
        <is>
          <t>USD in $000</t>
        </is>
      </c>
    </row>
    <row r="7"/>
    <row r="8">
      <c r="C8" s="4" t="inlineStr">
        <is>
          <t>Workstream</t>
        </is>
      </c>
      <c r="D8" s="4" t="inlineStr">
        <is>
          <t>% of Seed</t>
        </is>
      </c>
      <c r="E8" s="4" t="inlineStr">
        <is>
          <t>Amount</t>
        </is>
      </c>
      <c r="F8" s="4" t="inlineStr">
        <is>
          <t>Purpose and release gate</t>
        </is>
      </c>
    </row>
    <row r="9">
      <c r="C9" t="inlineStr">
        <is>
          <t>Product &amp; engineering</t>
        </is>
      </c>
      <c r="D9" s="25" t="n">
        <v>0.45</v>
      </c>
      <c r="E9" s="26">
        <f>Assumptions!D20*D9</f>
        <v/>
      </c>
      <c r="F9" s="30" t="inlineStr">
        <is>
          <t>Stabilize multi-platform distribution; build percentage analysis and stoichiometry workspace.</t>
        </is>
      </c>
    </row>
    <row r="10">
      <c r="C10" t="inlineStr">
        <is>
          <t>Go-to-market &amp; customer success</t>
        </is>
      </c>
      <c r="D10" s="25" t="n">
        <v>0.25</v>
      </c>
      <c r="E10" s="26">
        <f>Assumptions!D20*D10</f>
        <v/>
      </c>
      <c r="F10" s="30" t="inlineStr">
        <is>
          <t>Run structured pilots, content-led acquisition, onboarding, and partner distribution experiments.</t>
        </is>
      </c>
    </row>
    <row r="11">
      <c r="C11" t="inlineStr">
        <is>
          <t>Operations &amp; administration</t>
        </is>
      </c>
      <c r="D11" s="25" t="n">
        <v>0.15</v>
      </c>
      <c r="E11" s="26">
        <f>Assumptions!D20*D11</f>
        <v/>
      </c>
      <c r="F11" s="30" t="inlineStr">
        <is>
          <t>Legal setup, finance, support operations, compliance and essential tools.</t>
        </is>
      </c>
    </row>
    <row r="12">
      <c r="C12" t="inlineStr">
        <is>
          <t>Security &amp; distribution trust</t>
        </is>
      </c>
      <c r="D12" s="25" t="n">
        <v>0.1</v>
      </c>
      <c r="E12" s="26">
        <f>Assumptions!D20*D12</f>
        <v/>
      </c>
      <c r="F12" s="30" t="inlineStr">
        <is>
          <t>Code-signing, macOS notarization, release integrity and production support.</t>
        </is>
      </c>
    </row>
    <row r="13">
      <c r="C13" t="inlineStr">
        <is>
          <t>Contingency reserve</t>
        </is>
      </c>
      <c r="D13" s="25" t="n">
        <v>0.05</v>
      </c>
      <c r="E13" s="26">
        <f>Assumptions!D20*D13</f>
        <v/>
      </c>
      <c r="F13" s="30" t="inlineStr">
        <is>
          <t>Protect the plan against delayed conversion or platform certification work.</t>
        </is>
      </c>
    </row>
    <row r="14"/>
    <row r="15">
      <c r="C15" s="31" t="inlineStr">
        <is>
          <t>Total Seed capital</t>
        </is>
      </c>
      <c r="D15" s="32">
        <f>SUM(D9:D13)</f>
        <v/>
      </c>
      <c r="E15" s="33">
        <f>SUM(E9:E13)</f>
        <v/>
      </c>
    </row>
  </sheetData>
  <mergeCells count="3">
    <mergeCell ref="C6:F6"/>
    <mergeCell ref="C5:F5"/>
    <mergeCell ref="C3:F3"/>
  </mergeCells>
  <pageMargins left="0.75" right="0.75" top="1" bottom="1" header="0.5" footer="0.5"/>
  <pageSetup orientation="landscape" fitToHeight="0" fitToWidth="1"/>
  <headerFooter>
    <oddHeader/>
    <oddFooter>&amp;CChemBalance Seed Use of Funds —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37" customWidth="1" min="4" max="4"/>
    <col width="46" customWidth="1" min="5" max="5"/>
    <col width="12" customWidth="1" min="6" max="6"/>
  </cols>
  <sheetData>
    <row r="1"/>
    <row r="2"/>
    <row r="3">
      <c r="C3" s="1" t="inlineStr">
        <is>
          <t>ChemBalance Seed Model Checks</t>
        </is>
      </c>
    </row>
    <row r="4"/>
    <row r="5">
      <c r="C5" s="2" t="inlineStr">
        <is>
          <t>Formula checks; the model must be reviewed in Excel after all management inputs are updated.</t>
        </is>
      </c>
    </row>
    <row r="6">
      <c r="C6" s="3" t="inlineStr">
        <is>
          <t>USD in $000 unless stated</t>
        </is>
      </c>
    </row>
    <row r="7"/>
    <row r="8">
      <c r="C8" s="4" t="inlineStr">
        <is>
          <t>Check</t>
        </is>
      </c>
      <c r="D8" s="4" t="inlineStr">
        <is>
          <t>Value</t>
        </is>
      </c>
      <c r="E8" s="4" t="inlineStr">
        <is>
          <t>Interpretation</t>
        </is>
      </c>
    </row>
    <row r="9">
      <c r="C9" t="inlineStr">
        <is>
          <t>Use of funds equals Seed proceeds</t>
        </is>
      </c>
      <c r="D9" s="26">
        <f>'Use of Funds'!E15-Assumptions!D20</f>
        <v/>
      </c>
      <c r="E9" s="34" t="inlineStr">
        <is>
          <t>Pass when 0.0</t>
        </is>
      </c>
    </row>
    <row r="10">
      <c r="C10" t="inlineStr">
        <is>
          <t>Base 2029 ending cash</t>
        </is>
      </c>
      <c r="D10" s="26">
        <f>'P&amp;L &amp; Cash'!F25</f>
        <v/>
      </c>
      <c r="E10" s="34" t="inlineStr">
        <is>
          <t>Positive indicates cash coverage through 2029 under base assumptions</t>
        </is>
      </c>
    </row>
    <row r="11">
      <c r="C11" t="inlineStr">
        <is>
          <t>2029 revenue growth vs. 2028</t>
        </is>
      </c>
      <c r="D11" s="35">
        <f>'P&amp;L &amp; Cash'!F9/'P&amp;L &amp; Cash'!E9-1</f>
        <v/>
      </c>
      <c r="E11" s="34" t="inlineStr">
        <is>
          <t>Review whether the implied sales ramp is supported by pilots and channel data</t>
        </is>
      </c>
    </row>
    <row r="12">
      <c r="C12" t="inlineStr">
        <is>
          <t>2029 gross margin</t>
        </is>
      </c>
      <c r="D12" s="35">
        <f>'P&amp;L &amp; Cash'!F12</f>
        <v/>
      </c>
      <c r="E12" s="34" t="inlineStr">
        <is>
          <t>Derived from cost-of-revenue assumption</t>
        </is>
      </c>
    </row>
  </sheetData>
  <mergeCells count="3">
    <mergeCell ref="C6:F6"/>
    <mergeCell ref="C5:F5"/>
    <mergeCell ref="C3:F3"/>
  </mergeCells>
  <pageMargins left="0.75" right="0.75" top="1" bottom="1" header="0.5" footer="0.5"/>
  <pageSetup orientation="landscape" fitToHeight="0" fitToWidth="1"/>
  <headerFooter>
    <oddHeader/>
    <oddFooter>&amp;CChemBalance Seed Model Checks —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2026-08-26T00:37:11Z</dcterms:created>
  <dcterms:modified xmlns:dcterms="http://purl.org/dc/terms/" xmlns:xsi="http://www.w3.org/2001/XMLSchema-instance" xsi:type="dcterms:W3CDTF">2026-08-26T00:37:11Z</dcterms:modified>
</cp:coreProperties>
</file>